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meters" sheetId="1" state="visible" r:id="rId3"/>
    <sheet name="Hourly_Profile" sheetId="2" state="visible" r:id="rId4"/>
    <sheet name="Notes &amp; Sourc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<sst xmlns="http://schemas.openxmlformats.org/spreadsheetml/2006/main" count="160" uniqueCount="118">
  <si>
    <t xml:space="preserve">Refinery Cogeneration MILP — Parameter Sheet</t>
  </si>
  <si>
    <t xml:space="preserve">Legend: blue = input value (edit here) · black = formula · Basis column notes grounded vs representative</t>
  </si>
  <si>
    <t xml:space="preserve">1. Steam Headers</t>
  </si>
  <si>
    <t xml:space="preserve">Parameter</t>
  </si>
  <si>
    <t xml:space="preserve">Value</t>
  </si>
  <si>
    <t xml:space="preserve">Unit</t>
  </si>
  <si>
    <t xml:space="preserve">Basis</t>
  </si>
  <si>
    <t xml:space="preserve">HP header pressure</t>
  </si>
  <si>
    <t xml:space="preserve">bar</t>
  </si>
  <si>
    <t xml:space="preserve">Grounded — mid-range of 45-60 bar refinery HP practice</t>
  </si>
  <si>
    <t xml:space="preserve">MP header pressure</t>
  </si>
  <si>
    <t xml:space="preserve">Grounded — mid-range of 12-17 bar</t>
  </si>
  <si>
    <t xml:space="preserve">LP header pressure</t>
  </si>
  <si>
    <t xml:space="preserve">Grounded — mid-range of 4-6 bar</t>
  </si>
  <si>
    <t xml:space="preserve">HP steam enthalpy</t>
  </si>
  <si>
    <t xml:space="preserve">kJ/kg</t>
  </si>
  <si>
    <t xml:space="preserve">Grounded — standard steam tables, saturated ~45 bar</t>
  </si>
  <si>
    <t xml:space="preserve">MP steam enthalpy</t>
  </si>
  <si>
    <t xml:space="preserve">Grounded — standard steam tables, ~15 bar</t>
  </si>
  <si>
    <t xml:space="preserve">LP steam enthalpy</t>
  </si>
  <si>
    <t xml:space="preserve">Grounded — standard steam tables, ~5 bar</t>
  </si>
  <si>
    <t xml:space="preserve">2. Boilers</t>
  </si>
  <si>
    <t xml:space="preserve">Number of boilers</t>
  </si>
  <si>
    <t xml:space="preserve">count</t>
  </si>
  <si>
    <t xml:space="preserve">Derived — standard redundancy for mid-size refinery utility</t>
  </si>
  <si>
    <t xml:space="preserve">Capacity per boiler</t>
  </si>
  <si>
    <t xml:space="preserve">t/h HP steam</t>
  </si>
  <si>
    <t xml:space="preserve">Derived/Scaled — sized with margin over demand profile</t>
  </si>
  <si>
    <t xml:space="preserve">Total boiler capacity</t>
  </si>
  <si>
    <t xml:space="preserve">Formula = Number of boilers x Capacity per boiler</t>
  </si>
  <si>
    <t xml:space="preserve">Min-load (turndown)</t>
  </si>
  <si>
    <t xml:space="preserve">fraction of capacity</t>
  </si>
  <si>
    <t xml:space="preserve">Grounded — typical industrial boiler turndown limit</t>
  </si>
  <si>
    <t xml:space="preserve">Boiler thermal efficiency</t>
  </si>
  <si>
    <t xml:space="preserve">fraction</t>
  </si>
  <si>
    <t xml:space="preserve">Grounded — standard industrial boiler efficiency (85-90%)</t>
  </si>
  <si>
    <t xml:space="preserve">3. Fuel</t>
  </si>
  <si>
    <t xml:space="preserve">Refinery fuel gas (RFG) calorific value</t>
  </si>
  <si>
    <t xml:space="preserve">MJ/kg</t>
  </si>
  <si>
    <t xml:space="preserve">Grounded — mid-range of 35-45 MJ/kg from natural-gas-composition data</t>
  </si>
  <si>
    <t xml:space="preserve">Purchased natural gas price</t>
  </si>
  <si>
    <t xml:space="preserve">Rs/kg</t>
  </si>
  <si>
    <t xml:space="preserve">Derived — representative Indian industrial PNG price range (35-40)</t>
  </si>
  <si>
    <t xml:space="preserve">Flaring penalty</t>
  </si>
  <si>
    <t xml:space="preserve">Rs/kg RFG flared</t>
  </si>
  <si>
    <t xml:space="preserve">Derived — nominal penalty per project plan item 9</t>
  </si>
  <si>
    <t xml:space="preserve">4. Turbine / Letdown</t>
  </si>
  <si>
    <t xml:space="preserve">Turbine max capacity</t>
  </si>
  <si>
    <t xml:space="preserve">MW</t>
  </si>
  <si>
    <t xml:space="preserve">Derived/Scaled — sized against electricity demand profile</t>
  </si>
  <si>
    <t xml:space="preserve">Turbine steam rate (back-pressure)</t>
  </si>
  <si>
    <t xml:space="preserve">kg steam / kWh</t>
  </si>
  <si>
    <t xml:space="preserve">Grounded — standard industrial back-pressure turbine range (6-10)</t>
  </si>
  <si>
    <t xml:space="preserve">5. Electricity / Tariff (ToD)</t>
  </si>
  <si>
    <t xml:space="preserve">Grid base rate</t>
  </si>
  <si>
    <t xml:space="preserve">Rs/kWh</t>
  </si>
  <si>
    <t xml:space="preserve">Grounded — IEX day-ahead avg Rs4.88 (Aug'26), Rs3.86 (FY26 avg); 4.5 is a defensible midpoint</t>
  </si>
  <si>
    <t xml:space="preserve">ToD peak multiplier (6-10 PM)</t>
  </si>
  <si>
    <t xml:space="preserve">fraction above base</t>
  </si>
  <si>
    <t xml:space="preserve">Grounded — national ToD rule: peak +10-20%</t>
  </si>
  <si>
    <t xml:space="preserve">ToD solar/off-peak discount (10 AM-4 PM)</t>
  </si>
  <si>
    <t xml:space="preserve">fraction below base</t>
  </si>
  <si>
    <t xml:space="preserve">Grounded — national ToD rule: solar hours -10-20%</t>
  </si>
  <si>
    <t xml:space="preserve">Peak rate</t>
  </si>
  <si>
    <t xml:space="preserve">Formula = base rate x (1 + peak multiplier)</t>
  </si>
  <si>
    <t xml:space="preserve">Solar/off-peak rate</t>
  </si>
  <si>
    <t xml:space="preserve">Formula = base rate x (1 - solar discount)</t>
  </si>
  <si>
    <t xml:space="preserve">Normal-hours rate</t>
  </si>
  <si>
    <t xml:space="preserve">Formula = base rate</t>
  </si>
  <si>
    <t xml:space="preserve">6. Electricity Demand</t>
  </si>
  <si>
    <t xml:space="preserve">Plant electricity demand — baseline level</t>
  </si>
  <si>
    <t xml:space="preserve">Derived/Scaled — flat-ish with mild daytime rise</t>
  </si>
  <si>
    <t xml:space="preserve">7. Battery</t>
  </si>
  <si>
    <t xml:space="preserve">Battery capacity</t>
  </si>
  <si>
    <t xml:space="preserve">MWh</t>
  </si>
  <si>
    <t xml:space="preserve">Derived/Scaled — carried over from existing project</t>
  </si>
  <si>
    <t xml:space="preserve">Max charge/discharge rate</t>
  </si>
  <si>
    <t xml:space="preserve">Derived/Scaled</t>
  </si>
  <si>
    <t xml:space="preserve">Round-trip efficiency</t>
  </si>
  <si>
    <t xml:space="preserve">Grounded — typical Li-ion round-trip efficiency</t>
  </si>
  <si>
    <t xml:space="preserve">End-of-day SOC constraint</t>
  </si>
  <si>
    <t xml:space="preserve">Return to start-of-day SOC</t>
  </si>
  <si>
    <t xml:space="preserve">-</t>
  </si>
  <si>
    <t xml:space="preserve">Carried over from existing model logic</t>
  </si>
  <si>
    <t xml:space="preserve">8. Steam Demand Components (representative, not plant-specific)</t>
  </si>
  <si>
    <t xml:space="preserve">HP: CDU baseload</t>
  </si>
  <si>
    <t xml:space="preserve">t/h</t>
  </si>
  <si>
    <t xml:space="preserve">Representative — typical CDU steam draw, roughly flat</t>
  </si>
  <si>
    <t xml:space="preserve">HP: Hydrocracker baseload</t>
  </si>
  <si>
    <t xml:space="preserve">Representative — roughly flat</t>
  </si>
  <si>
    <t xml:space="preserve">MP: Hydrotreater draw</t>
  </si>
  <si>
    <t xml:space="preserve">Representative — mild variation with unit campaigns</t>
  </si>
  <si>
    <t xml:space="preserve">LP: Tank heating / stripping</t>
  </si>
  <si>
    <t xml:space="preserve">Representative — slightly higher overnight</t>
  </si>
  <si>
    <t xml:space="preserve">24-Hour Input Vectors</t>
  </si>
  <si>
    <t xml:space="preserve">All prices and demand values are formulas referencing Parameters — edit inputs there and this sheet recalculates.</t>
  </si>
  <si>
    <t xml:space="preserve">Hour (0-23)</t>
  </si>
  <si>
    <t xml:space="preserve">Tariff Band</t>
  </si>
  <si>
    <t xml:space="preserve">Electricity Price (Rs/kWh)</t>
  </si>
  <si>
    <t xml:space="preserve">HP Steam Demand (t/h)</t>
  </si>
  <si>
    <t xml:space="preserve">MP Steam Demand (t/h)</t>
  </si>
  <si>
    <t xml:space="preserve">LP Steam Demand (t/h)</t>
  </si>
  <si>
    <t xml:space="preserve">Electricity Demand (MW)</t>
  </si>
  <si>
    <t xml:space="preserve">RFG Availability (kg/h)</t>
  </si>
  <si>
    <t xml:space="preserve">Daily avg</t>
  </si>
  <si>
    <t xml:space="preserve">Notes, Assumptions &amp; Sources</t>
  </si>
  <si>
    <t xml:space="preserve">Grounded values</t>
  </si>
  <si>
    <t xml:space="preserve">Sourced from real industry data: refinery steam header pressure ranges, natural gas/RFG calorific value ranges, Indian ToD tariff structure (national rule: peak +10-20%, solar hours -10-20%), and IEX day-ahead/real-time market clearing prices (Aug 2026 / FY26 averages).</t>
  </si>
  <si>
    <t xml:space="preserve">Derived/Scaled values</t>
  </si>
  <si>
    <t xml:space="preserve">Boiler count/capacity, turbine capacity, electricity demand level, and battery specs are sized to be internally consistent with the grounded numbers (e.g., boiler capacity comfortably covers total steam demand). These are NOT sourced from a specific real refinery.</t>
  </si>
  <si>
    <t xml:space="preserve">Steam demand components</t>
  </si>
  <si>
    <t xml:space="preserve">HP/MP/LP demand is built from representative named consumers (CDU, hydrocracker, hydrotreater, tank heating) rather than one anonymous number, to reflect typical refinery steam end-uses. Exact real-plant demand data is proprietary and was not used.</t>
  </si>
  <si>
    <t xml:space="preserve">Do not claim</t>
  </si>
  <si>
    <t xml:space="preserve">This model should not be presented as calibrated to, or validated against, any specific named refinery. It should also not be directly compared numerically against savings percentages reported in other published studies (e.g., sugar-mill cogeneration papers) — those used different plant scale, currency, and fuel mix.</t>
  </si>
  <si>
    <t xml:space="preserve">Tariff bands used</t>
  </si>
  <si>
    <t xml:space="preserve">Peak: 18:00-22:00 (+20% of base). Solar/off-peak: 10:00-16:00 (-20% of base). Normal: all other hours (base rate). Matches the national ToD framework structure; exact state/DISCOM windows vary and should be cited as representative.</t>
  </si>
  <si>
    <t xml:space="preserve">Next steps</t>
  </si>
  <si>
    <t xml:space="preserve">Use Hourly_Profile columns C-H as the input vectors for the MATLAB baseline script and, later, the MILP (intlinprog). Parameters sheet is the single source of truth — update values there only.</t>
  </si>
</sst>
</file>

<file path=xl/styles.xml><?xml version="1.0" encoding="utf-8"?>
<styleSheet xmlns="http://schemas.openxmlformats.org/spreadsheetml/2006/main">
  <numFmts count="5">
    <numFmt numFmtId="164" formatCode="General"/>
    <numFmt numFmtId="165" formatCode="General"/>
    <numFmt numFmtId="166" formatCode="0.00"/>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808080"/>
      <name val="Arial"/>
      <family val="0"/>
      <charset val="1"/>
    </font>
    <font>
      <b val="true"/>
      <sz val="12"/>
      <color rgb="FF1F4E78"/>
      <name val="Arial"/>
      <family val="0"/>
      <charset val="1"/>
    </font>
    <font>
      <b val="true"/>
      <sz val="11"/>
      <color rgb="FFFFFFFF"/>
      <name val="Arial"/>
      <family val="0"/>
      <charset val="1"/>
    </font>
    <font>
      <sz val="11"/>
      <name val="Arial"/>
      <family val="0"/>
      <charset val="1"/>
    </font>
    <font>
      <sz val="11"/>
      <color rgb="FF0000FF"/>
      <name val="Arial"/>
      <family val="0"/>
      <charset val="1"/>
    </font>
    <font>
      <sz val="11"/>
      <color rgb="FF000000"/>
      <name val="Arial"/>
      <family val="0"/>
      <charset val="1"/>
    </font>
    <font>
      <b val="true"/>
      <sz val="11"/>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18"/>
    <col collapsed="false" customWidth="true" hidden="false" outlineLevel="0" max="4" min="4" style="0" width="6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v>45</v>
      </c>
      <c r="C6" s="5" t="s">
        <v>8</v>
      </c>
      <c r="D6" s="7" t="s">
        <v>9</v>
      </c>
    </row>
    <row r="7" customFormat="false" ht="15" hidden="false" customHeight="false" outlineLevel="0" collapsed="false">
      <c r="A7" s="5" t="s">
        <v>10</v>
      </c>
      <c r="B7" s="6" t="n">
        <v>15</v>
      </c>
      <c r="C7" s="5" t="s">
        <v>8</v>
      </c>
      <c r="D7" s="7" t="s">
        <v>11</v>
      </c>
    </row>
    <row r="8" customFormat="false" ht="15" hidden="false" customHeight="false" outlineLevel="0" collapsed="false">
      <c r="A8" s="5" t="s">
        <v>12</v>
      </c>
      <c r="B8" s="6" t="n">
        <v>5</v>
      </c>
      <c r="C8" s="5" t="s">
        <v>8</v>
      </c>
      <c r="D8" s="7" t="s">
        <v>13</v>
      </c>
    </row>
    <row r="9" customFormat="false" ht="15" hidden="false" customHeight="false" outlineLevel="0" collapsed="false">
      <c r="A9" s="5" t="s">
        <v>14</v>
      </c>
      <c r="B9" s="6" t="n">
        <v>2800</v>
      </c>
      <c r="C9" s="5" t="s">
        <v>15</v>
      </c>
      <c r="D9" s="7" t="s">
        <v>16</v>
      </c>
    </row>
    <row r="10" customFormat="false" ht="15" hidden="false" customHeight="false" outlineLevel="0" collapsed="false">
      <c r="A10" s="5" t="s">
        <v>17</v>
      </c>
      <c r="B10" s="6" t="n">
        <v>2790</v>
      </c>
      <c r="C10" s="5" t="s">
        <v>15</v>
      </c>
      <c r="D10" s="7" t="s">
        <v>18</v>
      </c>
    </row>
    <row r="11" customFormat="false" ht="15" hidden="false" customHeight="false" outlineLevel="0" collapsed="false">
      <c r="A11" s="5" t="s">
        <v>19</v>
      </c>
      <c r="B11" s="6" t="n">
        <v>2750</v>
      </c>
      <c r="C11" s="5" t="s">
        <v>15</v>
      </c>
      <c r="D11" s="7" t="s">
        <v>20</v>
      </c>
    </row>
    <row r="13" customFormat="false" ht="15" hidden="false" customHeight="false" outlineLevel="0" collapsed="false">
      <c r="A13" s="3" t="s">
        <v>21</v>
      </c>
    </row>
    <row r="14" customFormat="false" ht="15" hidden="false" customHeight="false" outlineLevel="0" collapsed="false">
      <c r="A14" s="4" t="s">
        <v>3</v>
      </c>
      <c r="B14" s="4" t="s">
        <v>4</v>
      </c>
      <c r="C14" s="4" t="s">
        <v>5</v>
      </c>
      <c r="D14" s="4" t="s">
        <v>6</v>
      </c>
    </row>
    <row r="15" customFormat="false" ht="15" hidden="false" customHeight="false" outlineLevel="0" collapsed="false">
      <c r="A15" s="5" t="s">
        <v>22</v>
      </c>
      <c r="B15" s="6" t="n">
        <v>2</v>
      </c>
      <c r="C15" s="5" t="s">
        <v>23</v>
      </c>
      <c r="D15" s="7" t="s">
        <v>24</v>
      </c>
    </row>
    <row r="16" customFormat="false" ht="15" hidden="false" customHeight="false" outlineLevel="0" collapsed="false">
      <c r="A16" s="5" t="s">
        <v>25</v>
      </c>
      <c r="B16" s="6" t="n">
        <v>60</v>
      </c>
      <c r="C16" s="5" t="s">
        <v>26</v>
      </c>
      <c r="D16" s="7" t="s">
        <v>27</v>
      </c>
    </row>
    <row r="17" customFormat="false" ht="15" hidden="false" customHeight="false" outlineLevel="0" collapsed="false">
      <c r="A17" s="5" t="s">
        <v>28</v>
      </c>
      <c r="B17" s="8" t="n">
        <f aca="false">B15*B16</f>
        <v>120</v>
      </c>
      <c r="C17" s="5" t="s">
        <v>26</v>
      </c>
      <c r="D17" s="7" t="s">
        <v>29</v>
      </c>
    </row>
    <row r="18" customFormat="false" ht="15" hidden="false" customHeight="false" outlineLevel="0" collapsed="false">
      <c r="A18" s="5" t="s">
        <v>30</v>
      </c>
      <c r="B18" s="6" t="n">
        <v>0.3</v>
      </c>
      <c r="C18" s="5" t="s">
        <v>31</v>
      </c>
      <c r="D18" s="7" t="s">
        <v>32</v>
      </c>
    </row>
    <row r="19" customFormat="false" ht="15" hidden="false" customHeight="false" outlineLevel="0" collapsed="false">
      <c r="A19" s="5" t="s">
        <v>33</v>
      </c>
      <c r="B19" s="6" t="n">
        <v>0.85</v>
      </c>
      <c r="C19" s="5" t="s">
        <v>34</v>
      </c>
      <c r="D19" s="7" t="s">
        <v>35</v>
      </c>
    </row>
    <row r="21" customFormat="false" ht="15" hidden="false" customHeight="false" outlineLevel="0" collapsed="false">
      <c r="A21" s="3" t="s">
        <v>36</v>
      </c>
    </row>
    <row r="22" customFormat="false" ht="15" hidden="false" customHeight="false" outlineLevel="0" collapsed="false">
      <c r="A22" s="4" t="s">
        <v>3</v>
      </c>
      <c r="B22" s="4" t="s">
        <v>4</v>
      </c>
      <c r="C22" s="4" t="s">
        <v>5</v>
      </c>
      <c r="D22" s="4" t="s">
        <v>6</v>
      </c>
    </row>
    <row r="23" customFormat="false" ht="15" hidden="false" customHeight="false" outlineLevel="0" collapsed="false">
      <c r="A23" s="5" t="s">
        <v>37</v>
      </c>
      <c r="B23" s="6" t="n">
        <v>40</v>
      </c>
      <c r="C23" s="5" t="s">
        <v>38</v>
      </c>
      <c r="D23" s="7" t="s">
        <v>39</v>
      </c>
    </row>
    <row r="24" customFormat="false" ht="15" hidden="false" customHeight="false" outlineLevel="0" collapsed="false">
      <c r="A24" s="5" t="s">
        <v>40</v>
      </c>
      <c r="B24" s="6" t="n">
        <v>37.5</v>
      </c>
      <c r="C24" s="5" t="s">
        <v>41</v>
      </c>
      <c r="D24" s="7" t="s">
        <v>42</v>
      </c>
    </row>
    <row r="25" customFormat="false" ht="15" hidden="false" customHeight="false" outlineLevel="0" collapsed="false">
      <c r="A25" s="5" t="s">
        <v>43</v>
      </c>
      <c r="B25" s="6" t="n">
        <v>5</v>
      </c>
      <c r="C25" s="5" t="s">
        <v>44</v>
      </c>
      <c r="D25" s="7" t="s">
        <v>45</v>
      </c>
    </row>
    <row r="27" customFormat="false" ht="15" hidden="false" customHeight="false" outlineLevel="0" collapsed="false">
      <c r="A27" s="3" t="s">
        <v>46</v>
      </c>
    </row>
    <row r="28" customFormat="false" ht="15" hidden="false" customHeight="false" outlineLevel="0" collapsed="false">
      <c r="A28" s="4" t="s">
        <v>3</v>
      </c>
      <c r="B28" s="4" t="s">
        <v>4</v>
      </c>
      <c r="C28" s="4" t="s">
        <v>5</v>
      </c>
      <c r="D28" s="4" t="s">
        <v>6</v>
      </c>
    </row>
    <row r="29" customFormat="false" ht="15" hidden="false" customHeight="false" outlineLevel="0" collapsed="false">
      <c r="A29" s="5" t="s">
        <v>47</v>
      </c>
      <c r="B29" s="6" t="n">
        <v>15</v>
      </c>
      <c r="C29" s="5" t="s">
        <v>48</v>
      </c>
      <c r="D29" s="7" t="s">
        <v>49</v>
      </c>
    </row>
    <row r="30" customFormat="false" ht="15" hidden="false" customHeight="false" outlineLevel="0" collapsed="false">
      <c r="A30" s="5" t="s">
        <v>50</v>
      </c>
      <c r="B30" s="6" t="n">
        <v>8</v>
      </c>
      <c r="C30" s="5" t="s">
        <v>51</v>
      </c>
      <c r="D30" s="7" t="s">
        <v>52</v>
      </c>
    </row>
    <row r="32" customFormat="false" ht="15" hidden="false" customHeight="false" outlineLevel="0" collapsed="false">
      <c r="A32" s="3" t="s">
        <v>53</v>
      </c>
    </row>
    <row r="33" customFormat="false" ht="15" hidden="false" customHeight="false" outlineLevel="0" collapsed="false">
      <c r="A33" s="4" t="s">
        <v>3</v>
      </c>
      <c r="B33" s="4" t="s">
        <v>4</v>
      </c>
      <c r="C33" s="4" t="s">
        <v>5</v>
      </c>
      <c r="D33" s="4" t="s">
        <v>6</v>
      </c>
    </row>
    <row r="34" customFormat="false" ht="22.35" hidden="false" customHeight="false" outlineLevel="0" collapsed="false">
      <c r="A34" s="5" t="s">
        <v>54</v>
      </c>
      <c r="B34" s="6" t="n">
        <v>4.5</v>
      </c>
      <c r="C34" s="5" t="s">
        <v>55</v>
      </c>
      <c r="D34" s="7" t="s">
        <v>56</v>
      </c>
    </row>
    <row r="35" customFormat="false" ht="15" hidden="false" customHeight="false" outlineLevel="0" collapsed="false">
      <c r="A35" s="5" t="s">
        <v>57</v>
      </c>
      <c r="B35" s="6" t="n">
        <v>0.2</v>
      </c>
      <c r="C35" s="5" t="s">
        <v>58</v>
      </c>
      <c r="D35" s="7" t="s">
        <v>59</v>
      </c>
    </row>
    <row r="36" customFormat="false" ht="15" hidden="false" customHeight="false" outlineLevel="0" collapsed="false">
      <c r="A36" s="5" t="s">
        <v>60</v>
      </c>
      <c r="B36" s="6" t="n">
        <v>0.2</v>
      </c>
      <c r="C36" s="5" t="s">
        <v>61</v>
      </c>
      <c r="D36" s="7" t="s">
        <v>62</v>
      </c>
    </row>
    <row r="37" customFormat="false" ht="15" hidden="false" customHeight="false" outlineLevel="0" collapsed="false">
      <c r="A37" s="5" t="s">
        <v>63</v>
      </c>
      <c r="B37" s="8" t="n">
        <f aca="false">B34*(1+B35)</f>
        <v>5.4</v>
      </c>
      <c r="C37" s="5" t="s">
        <v>55</v>
      </c>
      <c r="D37" s="7" t="s">
        <v>64</v>
      </c>
    </row>
    <row r="38" customFormat="false" ht="15" hidden="false" customHeight="false" outlineLevel="0" collapsed="false">
      <c r="A38" s="5" t="s">
        <v>65</v>
      </c>
      <c r="B38" s="8" t="n">
        <f aca="false">B34*(1-B36)</f>
        <v>3.6</v>
      </c>
      <c r="C38" s="5" t="s">
        <v>55</v>
      </c>
      <c r="D38" s="7" t="s">
        <v>66</v>
      </c>
    </row>
    <row r="39" customFormat="false" ht="15" hidden="false" customHeight="false" outlineLevel="0" collapsed="false">
      <c r="A39" s="5" t="s">
        <v>67</v>
      </c>
      <c r="B39" s="8" t="n">
        <f aca="false">B34</f>
        <v>4.5</v>
      </c>
      <c r="C39" s="5" t="s">
        <v>55</v>
      </c>
      <c r="D39" s="7" t="s">
        <v>68</v>
      </c>
    </row>
    <row r="41" customFormat="false" ht="15" hidden="false" customHeight="false" outlineLevel="0" collapsed="false">
      <c r="A41" s="3" t="s">
        <v>69</v>
      </c>
    </row>
    <row r="42" customFormat="false" ht="15" hidden="false" customHeight="false" outlineLevel="0" collapsed="false">
      <c r="A42" s="4" t="s">
        <v>3</v>
      </c>
      <c r="B42" s="4" t="s">
        <v>4</v>
      </c>
      <c r="C42" s="4" t="s">
        <v>5</v>
      </c>
      <c r="D42" s="4" t="s">
        <v>6</v>
      </c>
    </row>
    <row r="43" customFormat="false" ht="15" hidden="false" customHeight="false" outlineLevel="0" collapsed="false">
      <c r="A43" s="5" t="s">
        <v>70</v>
      </c>
      <c r="B43" s="6" t="n">
        <v>12</v>
      </c>
      <c r="C43" s="5" t="s">
        <v>48</v>
      </c>
      <c r="D43" s="7" t="s">
        <v>71</v>
      </c>
    </row>
    <row r="45" customFormat="false" ht="15" hidden="false" customHeight="false" outlineLevel="0" collapsed="false">
      <c r="A45" s="3" t="s">
        <v>72</v>
      </c>
    </row>
    <row r="46" customFormat="false" ht="15" hidden="false" customHeight="false" outlineLevel="0" collapsed="false">
      <c r="A46" s="4" t="s">
        <v>3</v>
      </c>
      <c r="B46" s="4" t="s">
        <v>4</v>
      </c>
      <c r="C46" s="4" t="s">
        <v>5</v>
      </c>
      <c r="D46" s="4" t="s">
        <v>6</v>
      </c>
    </row>
    <row r="47" customFormat="false" ht="15" hidden="false" customHeight="false" outlineLevel="0" collapsed="false">
      <c r="A47" s="5" t="s">
        <v>73</v>
      </c>
      <c r="B47" s="6" t="n">
        <v>5</v>
      </c>
      <c r="C47" s="5" t="s">
        <v>74</v>
      </c>
      <c r="D47" s="7" t="s">
        <v>75</v>
      </c>
    </row>
    <row r="48" customFormat="false" ht="15" hidden="false" customHeight="false" outlineLevel="0" collapsed="false">
      <c r="A48" s="5" t="s">
        <v>76</v>
      </c>
      <c r="B48" s="6" t="n">
        <v>1</v>
      </c>
      <c r="C48" s="5" t="s">
        <v>48</v>
      </c>
      <c r="D48" s="7" t="s">
        <v>77</v>
      </c>
    </row>
    <row r="49" customFormat="false" ht="15" hidden="false" customHeight="false" outlineLevel="0" collapsed="false">
      <c r="A49" s="5" t="s">
        <v>78</v>
      </c>
      <c r="B49" s="6" t="n">
        <v>0.9</v>
      </c>
      <c r="C49" s="5" t="s">
        <v>34</v>
      </c>
      <c r="D49" s="7" t="s">
        <v>79</v>
      </c>
    </row>
    <row r="50" customFormat="false" ht="15" hidden="false" customHeight="false" outlineLevel="0" collapsed="false">
      <c r="A50" s="5" t="s">
        <v>80</v>
      </c>
      <c r="B50" s="6" t="s">
        <v>81</v>
      </c>
      <c r="C50" s="5" t="s">
        <v>82</v>
      </c>
      <c r="D50" s="7" t="s">
        <v>83</v>
      </c>
    </row>
    <row r="52" customFormat="false" ht="15" hidden="false" customHeight="false" outlineLevel="0" collapsed="false">
      <c r="A52" s="3" t="s">
        <v>84</v>
      </c>
    </row>
    <row r="53" customFormat="false" ht="15" hidden="false" customHeight="false" outlineLevel="0" collapsed="false">
      <c r="A53" s="4" t="s">
        <v>3</v>
      </c>
      <c r="B53" s="4" t="s">
        <v>4</v>
      </c>
      <c r="C53" s="4" t="s">
        <v>5</v>
      </c>
      <c r="D53" s="4" t="s">
        <v>6</v>
      </c>
    </row>
    <row r="54" customFormat="false" ht="15" hidden="false" customHeight="false" outlineLevel="0" collapsed="false">
      <c r="A54" s="5" t="s">
        <v>85</v>
      </c>
      <c r="B54" s="6" t="n">
        <v>40</v>
      </c>
      <c r="C54" s="5" t="s">
        <v>86</v>
      </c>
      <c r="D54" s="7" t="s">
        <v>87</v>
      </c>
    </row>
    <row r="55" customFormat="false" ht="15" hidden="false" customHeight="false" outlineLevel="0" collapsed="false">
      <c r="A55" s="5" t="s">
        <v>88</v>
      </c>
      <c r="B55" s="6" t="n">
        <v>15</v>
      </c>
      <c r="C55" s="5" t="s">
        <v>86</v>
      </c>
      <c r="D55" s="7" t="s">
        <v>89</v>
      </c>
    </row>
    <row r="56" customFormat="false" ht="15" hidden="false" customHeight="false" outlineLevel="0" collapsed="false">
      <c r="A56" s="5" t="s">
        <v>90</v>
      </c>
      <c r="B56" s="6" t="n">
        <v>20</v>
      </c>
      <c r="C56" s="5" t="s">
        <v>86</v>
      </c>
      <c r="D56" s="7" t="s">
        <v>91</v>
      </c>
    </row>
    <row r="57" customFormat="false" ht="15" hidden="false" customHeight="false" outlineLevel="0" collapsed="false">
      <c r="A57" s="5" t="s">
        <v>92</v>
      </c>
      <c r="B57" s="6" t="n">
        <v>10</v>
      </c>
      <c r="C57" s="5" t="s">
        <v>86</v>
      </c>
      <c r="D57" s="7"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8" min="4" style="0" width="18"/>
  </cols>
  <sheetData>
    <row r="1" customFormat="false" ht="17.35" hidden="false" customHeight="false" outlineLevel="0" collapsed="false">
      <c r="A1" s="1" t="s">
        <v>94</v>
      </c>
    </row>
    <row r="2" customFormat="false" ht="15" hidden="false" customHeight="false" outlineLevel="0" collapsed="false">
      <c r="A2" s="2" t="s">
        <v>95</v>
      </c>
    </row>
    <row r="4" customFormat="false" ht="26.85" hidden="false" customHeight="false" outlineLevel="0" collapsed="false">
      <c r="A4" s="4" t="s">
        <v>96</v>
      </c>
      <c r="B4" s="4" t="s">
        <v>97</v>
      </c>
      <c r="C4" s="4" t="s">
        <v>98</v>
      </c>
      <c r="D4" s="4" t="s">
        <v>99</v>
      </c>
      <c r="E4" s="4" t="s">
        <v>100</v>
      </c>
      <c r="F4" s="4" t="s">
        <v>101</v>
      </c>
      <c r="G4" s="4" t="s">
        <v>102</v>
      </c>
      <c r="H4" s="4" t="s">
        <v>103</v>
      </c>
    </row>
    <row r="5" customFormat="false" ht="15" hidden="false" customHeight="false" outlineLevel="0" collapsed="false">
      <c r="A5" s="9" t="n">
        <v>0</v>
      </c>
      <c r="B5" s="8" t="str">
        <f aca="false">IF(AND(A5&gt;=18,A5&lt;22),"Peak",IF(AND(A5&gt;=10,A5&lt;16),"Solar/Off-peak","Normal"))</f>
        <v>Normal</v>
      </c>
      <c r="C5" s="10" t="n">
        <f aca="false">IF(B5="Peak",Parameters!$B$37,IF(B5="Solar/Off-peak",Parameters!$B$38,Parameters!$B$39))</f>
        <v>4.5</v>
      </c>
      <c r="D5" s="11" t="n">
        <f aca="false">(Parameters!$B$54+Parameters!$B$55)*(1+0.03*SIN((A5/24)*2*PI()))</f>
        <v>55</v>
      </c>
      <c r="E5" s="11" t="n">
        <f aca="false">Parameters!$B$56*(1+0.05*SIN((A5/24)*2*PI()+1))</f>
        <v>20.8414709848079</v>
      </c>
      <c r="F5" s="11" t="n">
        <f aca="false">Parameters!$B$57*(1+0.1*COS((A5-3)/24*2*PI()))</f>
        <v>10.7071067811865</v>
      </c>
      <c r="G5" s="10" t="n">
        <f aca="false">Parameters!$B$43*(1+0.08*SIN((A5-6)/24*2*PI()))</f>
        <v>11.04</v>
      </c>
      <c r="H5" s="12" t="n">
        <f aca="false">1000*(1+0.2*SIN((A5/24)*2*PI()+2))</f>
        <v>1181.85948536514</v>
      </c>
    </row>
    <row r="6" customFormat="false" ht="15" hidden="false" customHeight="false" outlineLevel="0" collapsed="false">
      <c r="A6" s="9" t="n">
        <v>1</v>
      </c>
      <c r="B6" s="8" t="str">
        <f aca="false">IF(AND(A6&gt;=18,A6&lt;22),"Peak",IF(AND(A6&gt;=10,A6&lt;16),"Solar/Off-peak","Normal"))</f>
        <v>Normal</v>
      </c>
      <c r="C6" s="10" t="n">
        <f aca="false">IF(B6="Peak",Parameters!$B$37,IF(B6="Solar/Off-peak",Parameters!$B$38,Parameters!$B$39))</f>
        <v>4.5</v>
      </c>
      <c r="D6" s="11" t="n">
        <f aca="false">(Parameters!$B$54+Parameters!$B$55)*(1+0.03*SIN((A6/24)*2*PI()))</f>
        <v>55.4270514244192</v>
      </c>
      <c r="E6" s="11" t="n">
        <f aca="false">Parameters!$B$56*(1+0.05*SIN((A6/24)*2*PI()+1))</f>
        <v>20.9526390831703</v>
      </c>
      <c r="F6" s="11" t="n">
        <f aca="false">Parameters!$B$57*(1+0.1*COS((A6-3)/24*2*PI()))</f>
        <v>10.8660254037844</v>
      </c>
      <c r="G6" s="10" t="n">
        <f aca="false">Parameters!$B$43*(1+0.08*SIN((A6-6)/24*2*PI()))</f>
        <v>11.0727112067625</v>
      </c>
      <c r="H6" s="12" t="n">
        <f aca="false">1000*(1+0.2*SIN((A6/24)*2*PI()+2))</f>
        <v>1154.12142829831</v>
      </c>
    </row>
    <row r="7" customFormat="false" ht="15" hidden="false" customHeight="false" outlineLevel="0" collapsed="false">
      <c r="A7" s="9" t="n">
        <v>2</v>
      </c>
      <c r="B7" s="8" t="str">
        <f aca="false">IF(AND(A7&gt;=18,A7&lt;22),"Peak",IF(AND(A7&gt;=10,A7&lt;16),"Solar/Off-peak","Normal"))</f>
        <v>Normal</v>
      </c>
      <c r="C7" s="10" t="n">
        <f aca="false">IF(B7="Peak",Parameters!$B$37,IF(B7="Solar/Off-peak",Parameters!$B$38,Parameters!$B$39))</f>
        <v>4.5</v>
      </c>
      <c r="D7" s="11" t="n">
        <f aca="false">(Parameters!$B$54+Parameters!$B$55)*(1+0.03*SIN((A7/24)*2*PI()))</f>
        <v>55.825</v>
      </c>
      <c r="E7" s="11" t="n">
        <f aca="false">Parameters!$B$56*(1+0.05*SIN((A7/24)*2*PI()+1))</f>
        <v>20.9988864023252</v>
      </c>
      <c r="F7" s="11" t="n">
        <f aca="false">Parameters!$B$57*(1+0.1*COS((A7-3)/24*2*PI()))</f>
        <v>10.9659258262891</v>
      </c>
      <c r="G7" s="10" t="n">
        <f aca="false">Parameters!$B$43*(1+0.08*SIN((A7-6)/24*2*PI()))</f>
        <v>11.1686156123669</v>
      </c>
      <c r="H7" s="12" t="n">
        <f aca="false">1000*(1+0.2*SIN((A7/24)*2*PI()+2))</f>
        <v>1115.88025059066</v>
      </c>
    </row>
    <row r="8" customFormat="false" ht="15" hidden="false" customHeight="false" outlineLevel="0" collapsed="false">
      <c r="A8" s="9" t="n">
        <v>3</v>
      </c>
      <c r="B8" s="8" t="str">
        <f aca="false">IF(AND(A8&gt;=18,A8&lt;22),"Peak",IF(AND(A8&gt;=10,A8&lt;16),"Solar/Off-peak","Normal"))</f>
        <v>Normal</v>
      </c>
      <c r="C8" s="10" t="n">
        <f aca="false">IF(B8="Peak",Parameters!$B$37,IF(B8="Solar/Off-peak",Parameters!$B$38,Parameters!$B$39))</f>
        <v>4.5</v>
      </c>
      <c r="D8" s="11" t="n">
        <f aca="false">(Parameters!$B$54+Parameters!$B$55)*(1+0.03*SIN((A8/24)*2*PI()))</f>
        <v>56.1667261889578</v>
      </c>
      <c r="E8" s="11" t="n">
        <f aca="false">Parameters!$B$56*(1+0.05*SIN((A8/24)*2*PI()+1))</f>
        <v>20.9770612638995</v>
      </c>
      <c r="F8" s="11" t="n">
        <f aca="false">Parameters!$B$57*(1+0.1*COS((A8-3)/24*2*PI()))</f>
        <v>11</v>
      </c>
      <c r="G8" s="10" t="n">
        <f aca="false">Parameters!$B$43*(1+0.08*SIN((A8-6)/24*2*PI()))</f>
        <v>11.3211774900609</v>
      </c>
      <c r="H8" s="12" t="n">
        <f aca="false">1000*(1+0.2*SIN((A8/24)*2*PI()+2))</f>
        <v>1069.74202530642</v>
      </c>
    </row>
    <row r="9" customFormat="false" ht="15" hidden="false" customHeight="false" outlineLevel="0" collapsed="false">
      <c r="A9" s="9" t="n">
        <v>4</v>
      </c>
      <c r="B9" s="8" t="str">
        <f aca="false">IF(AND(A9&gt;=18,A9&lt;22),"Peak",IF(AND(A9&gt;=10,A9&lt;16),"Solar/Off-peak","Normal"))</f>
        <v>Normal</v>
      </c>
      <c r="C9" s="10" t="n">
        <f aca="false">IF(B9="Peak",Parameters!$B$37,IF(B9="Solar/Off-peak",Parameters!$B$38,Parameters!$B$39))</f>
        <v>4.5</v>
      </c>
      <c r="D9" s="11" t="n">
        <f aca="false">(Parameters!$B$54+Parameters!$B$55)*(1+0.03*SIN((A9/24)*2*PI()))</f>
        <v>56.4289419162443</v>
      </c>
      <c r="E9" s="11" t="n">
        <f aca="false">Parameters!$B$56*(1+0.05*SIN((A9/24)*2*PI()+1))</f>
        <v>20.8886510150091</v>
      </c>
      <c r="F9" s="11" t="n">
        <f aca="false">Parameters!$B$57*(1+0.1*COS((A9-3)/24*2*PI()))</f>
        <v>10.9659258262891</v>
      </c>
      <c r="G9" s="10" t="n">
        <f aca="false">Parameters!$B$43*(1+0.08*SIN((A9-6)/24*2*PI()))</f>
        <v>11.52</v>
      </c>
      <c r="H9" s="12" t="n">
        <f aca="false">1000*(1+0.2*SIN((A9/24)*2*PI()+2))</f>
        <v>1018.8509962517</v>
      </c>
    </row>
    <row r="10" customFormat="false" ht="15" hidden="false" customHeight="false" outlineLevel="0" collapsed="false">
      <c r="A10" s="9" t="n">
        <v>5</v>
      </c>
      <c r="B10" s="8" t="str">
        <f aca="false">IF(AND(A10&gt;=18,A10&lt;22),"Peak",IF(AND(A10&gt;=10,A10&lt;16),"Solar/Off-peak","Normal"))</f>
        <v>Normal</v>
      </c>
      <c r="C10" s="10" t="n">
        <f aca="false">IF(B10="Peak",Parameters!$B$37,IF(B10="Solar/Off-peak",Parameters!$B$38,Parameters!$B$39))</f>
        <v>4.5</v>
      </c>
      <c r="D10" s="11" t="n">
        <f aca="false">(Parameters!$B$54+Parameters!$B$55)*(1+0.03*SIN((A10/24)*2*PI()))</f>
        <v>56.593777613377</v>
      </c>
      <c r="E10" s="11" t="n">
        <f aca="false">Parameters!$B$56*(1+0.05*SIN((A10/24)*2*PI()+1))</f>
        <v>20.739680668011</v>
      </c>
      <c r="F10" s="11" t="n">
        <f aca="false">Parameters!$B$57*(1+0.1*COS((A10-3)/24*2*PI()))</f>
        <v>10.8660254037844</v>
      </c>
      <c r="G10" s="10" t="n">
        <f aca="false">Parameters!$B$43*(1+0.08*SIN((A10-6)/24*2*PI()))</f>
        <v>11.7515337167016</v>
      </c>
      <c r="H10" s="12" t="n">
        <f aca="false">1000*(1+0.2*SIN((A10/24)*2*PI()+2))</f>
        <v>966.675302955164</v>
      </c>
    </row>
    <row r="11" customFormat="false" ht="15" hidden="false" customHeight="false" outlineLevel="0" collapsed="false">
      <c r="A11" s="9" t="n">
        <v>6</v>
      </c>
      <c r="B11" s="8" t="str">
        <f aca="false">IF(AND(A11&gt;=18,A11&lt;22),"Peak",IF(AND(A11&gt;=10,A11&lt;16),"Solar/Off-peak","Normal"))</f>
        <v>Normal</v>
      </c>
      <c r="C11" s="10" t="n">
        <f aca="false">IF(B11="Peak",Parameters!$B$37,IF(B11="Solar/Off-peak",Parameters!$B$38,Parameters!$B$39))</f>
        <v>4.5</v>
      </c>
      <c r="D11" s="11" t="n">
        <f aca="false">(Parameters!$B$54+Parameters!$B$55)*(1+0.03*SIN((A11/24)*2*PI()))</f>
        <v>56.65</v>
      </c>
      <c r="E11" s="11" t="n">
        <f aca="false">Parameters!$B$56*(1+0.05*SIN((A11/24)*2*PI()+1))</f>
        <v>20.5403023058681</v>
      </c>
      <c r="F11" s="11" t="n">
        <f aca="false">Parameters!$B$57*(1+0.1*COS((A11-3)/24*2*PI()))</f>
        <v>10.7071067811865</v>
      </c>
      <c r="G11" s="10" t="n">
        <f aca="false">Parameters!$B$43*(1+0.08*SIN((A11-6)/24*2*PI()))</f>
        <v>12</v>
      </c>
      <c r="H11" s="12" t="n">
        <f aca="false">1000*(1+0.2*SIN((A11/24)*2*PI()+2))</f>
        <v>916.770632690572</v>
      </c>
    </row>
    <row r="12" customFormat="false" ht="15" hidden="false" customHeight="false" outlineLevel="0" collapsed="false">
      <c r="A12" s="9" t="n">
        <v>7</v>
      </c>
      <c r="B12" s="8" t="str">
        <f aca="false">IF(AND(A12&gt;=18,A12&lt;22),"Peak",IF(AND(A12&gt;=10,A12&lt;16),"Solar/Off-peak","Normal"))</f>
        <v>Normal</v>
      </c>
      <c r="C12" s="10" t="n">
        <f aca="false">IF(B12="Peak",Parameters!$B$37,IF(B12="Solar/Off-peak",Parameters!$B$38,Parameters!$B$39))</f>
        <v>4.5</v>
      </c>
      <c r="D12" s="11" t="n">
        <f aca="false">(Parameters!$B$54+Parameters!$B$55)*(1+0.03*SIN((A12/24)*2*PI()))</f>
        <v>56.593777613377</v>
      </c>
      <c r="E12" s="11" t="n">
        <f aca="false">Parameters!$B$56*(1+0.05*SIN((A12/24)*2*PI()+1))</f>
        <v>20.3041032344721</v>
      </c>
      <c r="F12" s="11" t="n">
        <f aca="false">Parameters!$B$57*(1+0.1*COS((A12-3)/24*2*PI()))</f>
        <v>10.5</v>
      </c>
      <c r="G12" s="10" t="n">
        <f aca="false">Parameters!$B$43*(1+0.08*SIN((A12-6)/24*2*PI()))</f>
        <v>12.2484662832984</v>
      </c>
      <c r="H12" s="12" t="n">
        <f aca="false">1000*(1+0.2*SIN((A12/24)*2*PI()+2))</f>
        <v>872.537906265083</v>
      </c>
    </row>
    <row r="13" customFormat="false" ht="15" hidden="false" customHeight="false" outlineLevel="0" collapsed="false">
      <c r="A13" s="9" t="n">
        <v>8</v>
      </c>
      <c r="B13" s="8" t="str">
        <f aca="false">IF(AND(A13&gt;=18,A13&lt;22),"Peak",IF(AND(A13&gt;=10,A13&lt;16),"Solar/Off-peak","Normal"))</f>
        <v>Normal</v>
      </c>
      <c r="C13" s="10" t="n">
        <f aca="false">IF(B13="Peak",Parameters!$B$37,IF(B13="Solar/Off-peak",Parameters!$B$38,Parameters!$B$39))</f>
        <v>4.5</v>
      </c>
      <c r="D13" s="11" t="n">
        <f aca="false">(Parameters!$B$54+Parameters!$B$55)*(1+0.03*SIN((A13/24)*2*PI()))</f>
        <v>56.4289419162443</v>
      </c>
      <c r="E13" s="11" t="n">
        <f aca="false">Parameters!$B$56*(1+0.05*SIN((A13/24)*2*PI()+1))</f>
        <v>20.0471800302012</v>
      </c>
      <c r="F13" s="11" t="n">
        <f aca="false">Parameters!$B$57*(1+0.1*COS((A13-3)/24*2*PI()))</f>
        <v>10.2588190451025</v>
      </c>
      <c r="G13" s="10" t="n">
        <f aca="false">Parameters!$B$43*(1+0.08*SIN((A13-6)/24*2*PI()))</f>
        <v>12.48</v>
      </c>
      <c r="H13" s="12" t="n">
        <f aca="false">1000*(1+0.2*SIN((A13/24)*2*PI()+2))</f>
        <v>836.991510886561</v>
      </c>
    </row>
    <row r="14" customFormat="false" ht="15" hidden="false" customHeight="false" outlineLevel="0" collapsed="false">
      <c r="A14" s="9" t="n">
        <v>9</v>
      </c>
      <c r="B14" s="8" t="str">
        <f aca="false">IF(AND(A14&gt;=18,A14&lt;22),"Peak",IF(AND(A14&gt;=10,A14&lt;16),"Solar/Off-peak","Normal"))</f>
        <v>Normal</v>
      </c>
      <c r="C14" s="10" t="n">
        <f aca="false">IF(B14="Peak",Parameters!$B$37,IF(B14="Solar/Off-peak",Parameters!$B$38,Parameters!$B$39))</f>
        <v>4.5</v>
      </c>
      <c r="D14" s="11" t="n">
        <f aca="false">(Parameters!$B$54+Parameters!$B$55)*(1+0.03*SIN((A14/24)*2*PI()))</f>
        <v>56.1667261889578</v>
      </c>
      <c r="E14" s="11" t="n">
        <f aca="false">Parameters!$B$56*(1+0.05*SIN((A14/24)*2*PI()+1))</f>
        <v>19.7870415848407</v>
      </c>
      <c r="F14" s="11" t="n">
        <f aca="false">Parameters!$B$57*(1+0.1*COS((A14-3)/24*2*PI()))</f>
        <v>10</v>
      </c>
      <c r="G14" s="10" t="n">
        <f aca="false">Parameters!$B$43*(1+0.08*SIN((A14-6)/24*2*PI()))</f>
        <v>12.6788225099391</v>
      </c>
      <c r="H14" s="12" t="n">
        <f aca="false">1000*(1+0.2*SIN((A14/24)*2*PI()+2))</f>
        <v>812.553874656854</v>
      </c>
    </row>
    <row r="15" customFormat="false" ht="15" hidden="false" customHeight="false" outlineLevel="0" collapsed="false">
      <c r="A15" s="9" t="n">
        <v>10</v>
      </c>
      <c r="B15" s="8" t="str">
        <f aca="false">IF(AND(A15&gt;=18,A15&lt;22),"Peak",IF(AND(A15&gt;=10,A15&lt;16),"Solar/Off-peak","Normal"))</f>
        <v>Solar/Off-peak</v>
      </c>
      <c r="C15" s="10" t="n">
        <f aca="false">IF(B15="Peak",Parameters!$B$37,IF(B15="Solar/Off-peak",Parameters!$B$38,Parameters!$B$39))</f>
        <v>3.6</v>
      </c>
      <c r="D15" s="11" t="n">
        <f aca="false">(Parameters!$B$54+Parameters!$B$55)*(1+0.03*SIN((A15/24)*2*PI()))</f>
        <v>55.825</v>
      </c>
      <c r="E15" s="11" t="n">
        <f aca="false">Parameters!$B$56*(1+0.05*SIN((A15/24)*2*PI()+1))</f>
        <v>19.5414159035429</v>
      </c>
      <c r="F15" s="11" t="n">
        <f aca="false">Parameters!$B$57*(1+0.1*COS((A15-3)/24*2*PI()))</f>
        <v>9.74118095489748</v>
      </c>
      <c r="G15" s="10" t="n">
        <f aca="false">Parameters!$B$43*(1+0.08*SIN((A15-6)/24*2*PI()))</f>
        <v>12.8313843876331</v>
      </c>
      <c r="H15" s="12" t="n">
        <f aca="false">1000*(1+0.2*SIN((A15/24)*2*PI()+2))</f>
        <v>800.890382099913</v>
      </c>
    </row>
    <row r="16" customFormat="false" ht="15" hidden="false" customHeight="false" outlineLevel="0" collapsed="false">
      <c r="A16" s="9" t="n">
        <v>11</v>
      </c>
      <c r="B16" s="8" t="str">
        <f aca="false">IF(AND(A16&gt;=18,A16&lt;22),"Peak",IF(AND(A16&gt;=10,A16&lt;16),"Solar/Off-peak","Normal"))</f>
        <v>Solar/Off-peak</v>
      </c>
      <c r="C16" s="10" t="n">
        <f aca="false">IF(B16="Peak",Parameters!$B$37,IF(B16="Solar/Off-peak",Parameters!$B$38,Parameters!$B$39))</f>
        <v>3.6</v>
      </c>
      <c r="D16" s="11" t="n">
        <f aca="false">(Parameters!$B$54+Parameters!$B$55)*(1+0.03*SIN((A16/24)*2*PI()))</f>
        <v>55.4270514244192</v>
      </c>
      <c r="E16" s="11" t="n">
        <f aca="false">Parameters!$B$56*(1+0.05*SIN((A16/24)*2*PI()+1))</f>
        <v>19.3270419705726</v>
      </c>
      <c r="F16" s="11" t="n">
        <f aca="false">Parameters!$B$57*(1+0.1*COS((A16-3)/24*2*PI()))</f>
        <v>9.5</v>
      </c>
      <c r="G16" s="10" t="n">
        <f aca="false">Parameters!$B$43*(1+0.08*SIN((A16-6)/24*2*PI()))</f>
        <v>12.9272887932375</v>
      </c>
      <c r="H16" s="12" t="n">
        <f aca="false">1000*(1+0.2*SIN((A16/24)*2*PI()+2))</f>
        <v>802.795880958663</v>
      </c>
    </row>
    <row r="17" customFormat="false" ht="15" hidden="false" customHeight="false" outlineLevel="0" collapsed="false">
      <c r="A17" s="9" t="n">
        <v>12</v>
      </c>
      <c r="B17" s="8" t="str">
        <f aca="false">IF(AND(A17&gt;=18,A17&lt;22),"Peak",IF(AND(A17&gt;=10,A17&lt;16),"Solar/Off-peak","Normal"))</f>
        <v>Solar/Off-peak</v>
      </c>
      <c r="C17" s="10" t="n">
        <f aca="false">IF(B17="Peak",Parameters!$B$37,IF(B17="Solar/Off-peak",Parameters!$B$38,Parameters!$B$39))</f>
        <v>3.6</v>
      </c>
      <c r="D17" s="11" t="n">
        <f aca="false">(Parameters!$B$54+Parameters!$B$55)*(1+0.03*SIN((A17/24)*2*PI()))</f>
        <v>55</v>
      </c>
      <c r="E17" s="11" t="n">
        <f aca="false">Parameters!$B$56*(1+0.05*SIN((A17/24)*2*PI()+1))</f>
        <v>19.1585290151921</v>
      </c>
      <c r="F17" s="11" t="n">
        <f aca="false">Parameters!$B$57*(1+0.1*COS((A17-3)/24*2*PI()))</f>
        <v>9.29289321881345</v>
      </c>
      <c r="G17" s="10" t="n">
        <f aca="false">Parameters!$B$43*(1+0.08*SIN((A17-6)/24*2*PI()))</f>
        <v>12.96</v>
      </c>
      <c r="H17" s="12" t="n">
        <f aca="false">1000*(1+0.2*SIN((A17/24)*2*PI()+2))</f>
        <v>818.140514634864</v>
      </c>
    </row>
    <row r="18" customFormat="false" ht="15" hidden="false" customHeight="false" outlineLevel="0" collapsed="false">
      <c r="A18" s="9" t="n">
        <v>13</v>
      </c>
      <c r="B18" s="8" t="str">
        <f aca="false">IF(AND(A18&gt;=18,A18&lt;22),"Peak",IF(AND(A18&gt;=10,A18&lt;16),"Solar/Off-peak","Normal"))</f>
        <v>Solar/Off-peak</v>
      </c>
      <c r="C18" s="10" t="n">
        <f aca="false">IF(B18="Peak",Parameters!$B$37,IF(B18="Solar/Off-peak",Parameters!$B$38,Parameters!$B$39))</f>
        <v>3.6</v>
      </c>
      <c r="D18" s="11" t="n">
        <f aca="false">(Parameters!$B$54+Parameters!$B$55)*(1+0.03*SIN((A18/24)*2*PI()))</f>
        <v>54.5729485755808</v>
      </c>
      <c r="E18" s="11" t="n">
        <f aca="false">Parameters!$B$56*(1+0.05*SIN((A18/24)*2*PI()+1))</f>
        <v>19.0473609168297</v>
      </c>
      <c r="F18" s="11" t="n">
        <f aca="false">Parameters!$B$57*(1+0.1*COS((A18-3)/24*2*PI()))</f>
        <v>9.13397459621556</v>
      </c>
      <c r="G18" s="10" t="n">
        <f aca="false">Parameters!$B$43*(1+0.08*SIN((A18-6)/24*2*PI()))</f>
        <v>12.9272887932375</v>
      </c>
      <c r="H18" s="12" t="n">
        <f aca="false">1000*(1+0.2*SIN((A18/24)*2*PI()+2))</f>
        <v>845.878571701689</v>
      </c>
    </row>
    <row r="19" customFormat="false" ht="15" hidden="false" customHeight="false" outlineLevel="0" collapsed="false">
      <c r="A19" s="9" t="n">
        <v>14</v>
      </c>
      <c r="B19" s="8" t="str">
        <f aca="false">IF(AND(A19&gt;=18,A19&lt;22),"Peak",IF(AND(A19&gt;=10,A19&lt;16),"Solar/Off-peak","Normal"))</f>
        <v>Solar/Off-peak</v>
      </c>
      <c r="C19" s="10" t="n">
        <f aca="false">IF(B19="Peak",Parameters!$B$37,IF(B19="Solar/Off-peak",Parameters!$B$38,Parameters!$B$39))</f>
        <v>3.6</v>
      </c>
      <c r="D19" s="11" t="n">
        <f aca="false">(Parameters!$B$54+Parameters!$B$55)*(1+0.03*SIN((A19/24)*2*PI()))</f>
        <v>54.175</v>
      </c>
      <c r="E19" s="11" t="n">
        <f aca="false">Parameters!$B$56*(1+0.05*SIN((A19/24)*2*PI()+1))</f>
        <v>19.0011135976748</v>
      </c>
      <c r="F19" s="11" t="n">
        <f aca="false">Parameters!$B$57*(1+0.1*COS((A19-3)/24*2*PI()))</f>
        <v>9.03407417371093</v>
      </c>
      <c r="G19" s="10" t="n">
        <f aca="false">Parameters!$B$43*(1+0.08*SIN((A19-6)/24*2*PI()))</f>
        <v>12.8313843876331</v>
      </c>
      <c r="H19" s="12" t="n">
        <f aca="false">1000*(1+0.2*SIN((A19/24)*2*PI()+2))</f>
        <v>884.119749409342</v>
      </c>
    </row>
    <row r="20" customFormat="false" ht="15" hidden="false" customHeight="false" outlineLevel="0" collapsed="false">
      <c r="A20" s="9" t="n">
        <v>15</v>
      </c>
      <c r="B20" s="8" t="str">
        <f aca="false">IF(AND(A20&gt;=18,A20&lt;22),"Peak",IF(AND(A20&gt;=10,A20&lt;16),"Solar/Off-peak","Normal"))</f>
        <v>Solar/Off-peak</v>
      </c>
      <c r="C20" s="10" t="n">
        <f aca="false">IF(B20="Peak",Parameters!$B$37,IF(B20="Solar/Off-peak",Parameters!$B$38,Parameters!$B$39))</f>
        <v>3.6</v>
      </c>
      <c r="D20" s="11" t="n">
        <f aca="false">(Parameters!$B$54+Parameters!$B$55)*(1+0.03*SIN((A20/24)*2*PI()))</f>
        <v>53.8332738110422</v>
      </c>
      <c r="E20" s="11" t="n">
        <f aca="false">Parameters!$B$56*(1+0.05*SIN((A20/24)*2*PI()+1))</f>
        <v>19.0229387361005</v>
      </c>
      <c r="F20" s="11" t="n">
        <f aca="false">Parameters!$B$57*(1+0.1*COS((A20-3)/24*2*PI()))</f>
        <v>9</v>
      </c>
      <c r="G20" s="10" t="n">
        <f aca="false">Parameters!$B$43*(1+0.08*SIN((A20-6)/24*2*PI()))</f>
        <v>12.6788225099391</v>
      </c>
      <c r="H20" s="12" t="n">
        <f aca="false">1000*(1+0.2*SIN((A20/24)*2*PI()+2))</f>
        <v>930.257974693579</v>
      </c>
    </row>
    <row r="21" customFormat="false" ht="15" hidden="false" customHeight="false" outlineLevel="0" collapsed="false">
      <c r="A21" s="9" t="n">
        <v>16</v>
      </c>
      <c r="B21" s="8" t="str">
        <f aca="false">IF(AND(A21&gt;=18,A21&lt;22),"Peak",IF(AND(A21&gt;=10,A21&lt;16),"Solar/Off-peak","Normal"))</f>
        <v>Normal</v>
      </c>
      <c r="C21" s="10" t="n">
        <f aca="false">IF(B21="Peak",Parameters!$B$37,IF(B21="Solar/Off-peak",Parameters!$B$38,Parameters!$B$39))</f>
        <v>4.5</v>
      </c>
      <c r="D21" s="11" t="n">
        <f aca="false">(Parameters!$B$54+Parameters!$B$55)*(1+0.03*SIN((A21/24)*2*PI()))</f>
        <v>53.5710580837557</v>
      </c>
      <c r="E21" s="11" t="n">
        <f aca="false">Parameters!$B$56*(1+0.05*SIN((A21/24)*2*PI()+1))</f>
        <v>19.1113489849909</v>
      </c>
      <c r="F21" s="11" t="n">
        <f aca="false">Parameters!$B$57*(1+0.1*COS((A21-3)/24*2*PI()))</f>
        <v>9.03407417371093</v>
      </c>
      <c r="G21" s="10" t="n">
        <f aca="false">Parameters!$B$43*(1+0.08*SIN((A21-6)/24*2*PI()))</f>
        <v>12.48</v>
      </c>
      <c r="H21" s="12" t="n">
        <f aca="false">1000*(1+0.2*SIN((A21/24)*2*PI()+2))</f>
        <v>981.149003748303</v>
      </c>
    </row>
    <row r="22" customFormat="false" ht="15" hidden="false" customHeight="false" outlineLevel="0" collapsed="false">
      <c r="A22" s="9" t="n">
        <v>17</v>
      </c>
      <c r="B22" s="8" t="str">
        <f aca="false">IF(AND(A22&gt;=18,A22&lt;22),"Peak",IF(AND(A22&gt;=10,A22&lt;16),"Solar/Off-peak","Normal"))</f>
        <v>Normal</v>
      </c>
      <c r="C22" s="10" t="n">
        <f aca="false">IF(B22="Peak",Parameters!$B$37,IF(B22="Solar/Off-peak",Parameters!$B$38,Parameters!$B$39))</f>
        <v>4.5</v>
      </c>
      <c r="D22" s="11" t="n">
        <f aca="false">(Parameters!$B$54+Parameters!$B$55)*(1+0.03*SIN((A22/24)*2*PI()))</f>
        <v>53.406222386623</v>
      </c>
      <c r="E22" s="11" t="n">
        <f aca="false">Parameters!$B$56*(1+0.05*SIN((A22/24)*2*PI()+1))</f>
        <v>19.260319331989</v>
      </c>
      <c r="F22" s="11" t="n">
        <f aca="false">Parameters!$B$57*(1+0.1*COS((A22-3)/24*2*PI()))</f>
        <v>9.13397459621556</v>
      </c>
      <c r="G22" s="10" t="n">
        <f aca="false">Parameters!$B$43*(1+0.08*SIN((A22-6)/24*2*PI()))</f>
        <v>12.2484662832984</v>
      </c>
      <c r="H22" s="12" t="n">
        <f aca="false">1000*(1+0.2*SIN((A22/24)*2*PI()+2))</f>
        <v>1033.32469704484</v>
      </c>
    </row>
    <row r="23" customFormat="false" ht="15" hidden="false" customHeight="false" outlineLevel="0" collapsed="false">
      <c r="A23" s="9" t="n">
        <v>18</v>
      </c>
      <c r="B23" s="8" t="str">
        <f aca="false">IF(AND(A23&gt;=18,A23&lt;22),"Peak",IF(AND(A23&gt;=10,A23&lt;16),"Solar/Off-peak","Normal"))</f>
        <v>Peak</v>
      </c>
      <c r="C23" s="10" t="n">
        <f aca="false">IF(B23="Peak",Parameters!$B$37,IF(B23="Solar/Off-peak",Parameters!$B$38,Parameters!$B$39))</f>
        <v>5.4</v>
      </c>
      <c r="D23" s="11" t="n">
        <f aca="false">(Parameters!$B$54+Parameters!$B$55)*(1+0.03*SIN((A23/24)*2*PI()))</f>
        <v>53.35</v>
      </c>
      <c r="E23" s="11" t="n">
        <f aca="false">Parameters!$B$56*(1+0.05*SIN((A23/24)*2*PI()+1))</f>
        <v>19.4596976941319</v>
      </c>
      <c r="F23" s="11" t="n">
        <f aca="false">Parameters!$B$57*(1+0.1*COS((A23-3)/24*2*PI()))</f>
        <v>9.29289321881345</v>
      </c>
      <c r="G23" s="10" t="n">
        <f aca="false">Parameters!$B$43*(1+0.08*SIN((A23-6)/24*2*PI()))</f>
        <v>12</v>
      </c>
      <c r="H23" s="12" t="n">
        <f aca="false">1000*(1+0.2*SIN((A23/24)*2*PI()+2))</f>
        <v>1083.22936730943</v>
      </c>
    </row>
    <row r="24" customFormat="false" ht="15" hidden="false" customHeight="false" outlineLevel="0" collapsed="false">
      <c r="A24" s="9" t="n">
        <v>19</v>
      </c>
      <c r="B24" s="8" t="str">
        <f aca="false">IF(AND(A24&gt;=18,A24&lt;22),"Peak",IF(AND(A24&gt;=10,A24&lt;16),"Solar/Off-peak","Normal"))</f>
        <v>Peak</v>
      </c>
      <c r="C24" s="10" t="n">
        <f aca="false">IF(B24="Peak",Parameters!$B$37,IF(B24="Solar/Off-peak",Parameters!$B$38,Parameters!$B$39))</f>
        <v>5.4</v>
      </c>
      <c r="D24" s="11" t="n">
        <f aca="false">(Parameters!$B$54+Parameters!$B$55)*(1+0.03*SIN((A24/24)*2*PI()))</f>
        <v>53.406222386623</v>
      </c>
      <c r="E24" s="11" t="n">
        <f aca="false">Parameters!$B$56*(1+0.05*SIN((A24/24)*2*PI()+1))</f>
        <v>19.6958967655279</v>
      </c>
      <c r="F24" s="11" t="n">
        <f aca="false">Parameters!$B$57*(1+0.1*COS((A24-3)/24*2*PI()))</f>
        <v>9.5</v>
      </c>
      <c r="G24" s="10" t="n">
        <f aca="false">Parameters!$B$43*(1+0.08*SIN((A24-6)/24*2*PI()))</f>
        <v>11.7515337167016</v>
      </c>
      <c r="H24" s="12" t="n">
        <f aca="false">1000*(1+0.2*SIN((A24/24)*2*PI()+2))</f>
        <v>1127.46209373492</v>
      </c>
    </row>
    <row r="25" customFormat="false" ht="15" hidden="false" customHeight="false" outlineLevel="0" collapsed="false">
      <c r="A25" s="9" t="n">
        <v>20</v>
      </c>
      <c r="B25" s="8" t="str">
        <f aca="false">IF(AND(A25&gt;=18,A25&lt;22),"Peak",IF(AND(A25&gt;=10,A25&lt;16),"Solar/Off-peak","Normal"))</f>
        <v>Peak</v>
      </c>
      <c r="C25" s="10" t="n">
        <f aca="false">IF(B25="Peak",Parameters!$B$37,IF(B25="Solar/Off-peak",Parameters!$B$38,Parameters!$B$39))</f>
        <v>5.4</v>
      </c>
      <c r="D25" s="11" t="n">
        <f aca="false">(Parameters!$B$54+Parameters!$B$55)*(1+0.03*SIN((A25/24)*2*PI()))</f>
        <v>53.5710580837557</v>
      </c>
      <c r="E25" s="11" t="n">
        <f aca="false">Parameters!$B$56*(1+0.05*SIN((A25/24)*2*PI()+1))</f>
        <v>19.9528199697988</v>
      </c>
      <c r="F25" s="11" t="n">
        <f aca="false">Parameters!$B$57*(1+0.1*COS((A25-3)/24*2*PI()))</f>
        <v>9.74118095489748</v>
      </c>
      <c r="G25" s="10" t="n">
        <f aca="false">Parameters!$B$43*(1+0.08*SIN((A25-6)/24*2*PI()))</f>
        <v>11.52</v>
      </c>
      <c r="H25" s="12" t="n">
        <f aca="false">1000*(1+0.2*SIN((A25/24)*2*PI()+2))</f>
        <v>1163.00848911344</v>
      </c>
    </row>
    <row r="26" customFormat="false" ht="15" hidden="false" customHeight="false" outlineLevel="0" collapsed="false">
      <c r="A26" s="9" t="n">
        <v>21</v>
      </c>
      <c r="B26" s="8" t="str">
        <f aca="false">IF(AND(A26&gt;=18,A26&lt;22),"Peak",IF(AND(A26&gt;=10,A26&lt;16),"Solar/Off-peak","Normal"))</f>
        <v>Peak</v>
      </c>
      <c r="C26" s="10" t="n">
        <f aca="false">IF(B26="Peak",Parameters!$B$37,IF(B26="Solar/Off-peak",Parameters!$B$38,Parameters!$B$39))</f>
        <v>5.4</v>
      </c>
      <c r="D26" s="11" t="n">
        <f aca="false">(Parameters!$B$54+Parameters!$B$55)*(1+0.03*SIN((A26/24)*2*PI()))</f>
        <v>53.8332738110422</v>
      </c>
      <c r="E26" s="11" t="n">
        <f aca="false">Parameters!$B$56*(1+0.05*SIN((A26/24)*2*PI()+1))</f>
        <v>20.2129584151593</v>
      </c>
      <c r="F26" s="11" t="n">
        <f aca="false">Parameters!$B$57*(1+0.1*COS((A26-3)/24*2*PI()))</f>
        <v>10</v>
      </c>
      <c r="G26" s="10" t="n">
        <f aca="false">Parameters!$B$43*(1+0.08*SIN((A26-6)/24*2*PI()))</f>
        <v>11.3211774900609</v>
      </c>
      <c r="H26" s="12" t="n">
        <f aca="false">1000*(1+0.2*SIN((A26/24)*2*PI()+2))</f>
        <v>1187.44612534315</v>
      </c>
    </row>
    <row r="27" customFormat="false" ht="15" hidden="false" customHeight="false" outlineLevel="0" collapsed="false">
      <c r="A27" s="9" t="n">
        <v>22</v>
      </c>
      <c r="B27" s="8" t="str">
        <f aca="false">IF(AND(A27&gt;=18,A27&lt;22),"Peak",IF(AND(A27&gt;=10,A27&lt;16),"Solar/Off-peak","Normal"))</f>
        <v>Normal</v>
      </c>
      <c r="C27" s="10" t="n">
        <f aca="false">IF(B27="Peak",Parameters!$B$37,IF(B27="Solar/Off-peak",Parameters!$B$38,Parameters!$B$39))</f>
        <v>4.5</v>
      </c>
      <c r="D27" s="11" t="n">
        <f aca="false">(Parameters!$B$54+Parameters!$B$55)*(1+0.03*SIN((A27/24)*2*PI()))</f>
        <v>54.175</v>
      </c>
      <c r="E27" s="11" t="n">
        <f aca="false">Parameters!$B$56*(1+0.05*SIN((A27/24)*2*PI()+1))</f>
        <v>20.4585840964571</v>
      </c>
      <c r="F27" s="11" t="n">
        <f aca="false">Parameters!$B$57*(1+0.1*COS((A27-3)/24*2*PI()))</f>
        <v>10.2588190451025</v>
      </c>
      <c r="G27" s="10" t="n">
        <f aca="false">Parameters!$B$43*(1+0.08*SIN((A27-6)/24*2*PI()))</f>
        <v>11.1686156123669</v>
      </c>
      <c r="H27" s="12" t="n">
        <f aca="false">1000*(1+0.2*SIN((A27/24)*2*PI()+2))</f>
        <v>1199.10961790009</v>
      </c>
    </row>
    <row r="28" customFormat="false" ht="15" hidden="false" customHeight="false" outlineLevel="0" collapsed="false">
      <c r="A28" s="9" t="n">
        <v>23</v>
      </c>
      <c r="B28" s="8" t="str">
        <f aca="false">IF(AND(A28&gt;=18,A28&lt;22),"Peak",IF(AND(A28&gt;=10,A28&lt;16),"Solar/Off-peak","Normal"))</f>
        <v>Normal</v>
      </c>
      <c r="C28" s="10" t="n">
        <f aca="false">IF(B28="Peak",Parameters!$B$37,IF(B28="Solar/Off-peak",Parameters!$B$38,Parameters!$B$39))</f>
        <v>4.5</v>
      </c>
      <c r="D28" s="11" t="n">
        <f aca="false">(Parameters!$B$54+Parameters!$B$55)*(1+0.03*SIN((A28/24)*2*PI()))</f>
        <v>54.5729485755808</v>
      </c>
      <c r="E28" s="11" t="n">
        <f aca="false">Parameters!$B$56*(1+0.05*SIN((A28/24)*2*PI()+1))</f>
        <v>20.6729580294274</v>
      </c>
      <c r="F28" s="11" t="n">
        <f aca="false">Parameters!$B$57*(1+0.1*COS((A28-3)/24*2*PI()))</f>
        <v>10.5</v>
      </c>
      <c r="G28" s="10" t="n">
        <f aca="false">Parameters!$B$43*(1+0.08*SIN((A28-6)/24*2*PI()))</f>
        <v>11.0727112067625</v>
      </c>
      <c r="H28" s="12" t="n">
        <f aca="false">1000*(1+0.2*SIN((A28/24)*2*PI()+2))</f>
        <v>1197.20411904134</v>
      </c>
    </row>
    <row r="30" customFormat="false" ht="15" hidden="false" customHeight="false" outlineLevel="0" collapsed="false">
      <c r="A30" s="13" t="s">
        <v>104</v>
      </c>
      <c r="B30" s="9"/>
      <c r="C30" s="14" t="n">
        <f aca="false">AVERAGE(C5:C28)</f>
        <v>4.425</v>
      </c>
      <c r="D30" s="15" t="n">
        <f aca="false">AVERAGE(D5:D28)</f>
        <v>55</v>
      </c>
      <c r="E30" s="15" t="n">
        <f aca="false">AVERAGE(E5:E28)</f>
        <v>20</v>
      </c>
      <c r="F30" s="15" t="n">
        <f aca="false">AVERAGE(F5:F28)</f>
        <v>10</v>
      </c>
      <c r="G30" s="14" t="n">
        <f aca="false">AVERAGE(G5:G28)</f>
        <v>12</v>
      </c>
      <c r="H30" s="16" t="n">
        <f aca="false">AVERAGE(H5:H28)</f>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0"/>
  </cols>
  <sheetData>
    <row r="1" customFormat="false" ht="17.35" hidden="false" customHeight="false" outlineLevel="0" collapsed="false">
      <c r="A1" s="1" t="s">
        <v>105</v>
      </c>
    </row>
    <row r="3" customFormat="false" ht="15" hidden="false" customHeight="false" outlineLevel="0" collapsed="false">
      <c r="A3" s="13" t="s">
        <v>106</v>
      </c>
    </row>
    <row r="4" customFormat="false" ht="45" hidden="false" customHeight="true" outlineLevel="0" collapsed="false">
      <c r="A4" s="17" t="s">
        <v>107</v>
      </c>
      <c r="B4" s="17"/>
      <c r="C4" s="17"/>
      <c r="D4" s="17"/>
      <c r="E4" s="17"/>
      <c r="F4" s="17"/>
    </row>
    <row r="6" customFormat="false" ht="15" hidden="false" customHeight="false" outlineLevel="0" collapsed="false">
      <c r="A6" s="13" t="s">
        <v>108</v>
      </c>
    </row>
    <row r="7" customFormat="false" ht="45" hidden="false" customHeight="true" outlineLevel="0" collapsed="false">
      <c r="A7" s="17" t="s">
        <v>109</v>
      </c>
      <c r="B7" s="17"/>
      <c r="C7" s="17"/>
      <c r="D7" s="17"/>
      <c r="E7" s="17"/>
      <c r="F7" s="17"/>
    </row>
    <row r="9" customFormat="false" ht="15" hidden="false" customHeight="false" outlineLevel="0" collapsed="false">
      <c r="A9" s="13" t="s">
        <v>110</v>
      </c>
    </row>
    <row r="10" customFormat="false" ht="45" hidden="false" customHeight="true" outlineLevel="0" collapsed="false">
      <c r="A10" s="17" t="s">
        <v>111</v>
      </c>
      <c r="B10" s="17"/>
      <c r="C10" s="17"/>
      <c r="D10" s="17"/>
      <c r="E10" s="17"/>
      <c r="F10" s="17"/>
    </row>
    <row r="12" customFormat="false" ht="15" hidden="false" customHeight="false" outlineLevel="0" collapsed="false">
      <c r="A12" s="13" t="s">
        <v>112</v>
      </c>
    </row>
    <row r="13" customFormat="false" ht="45" hidden="false" customHeight="true" outlineLevel="0" collapsed="false">
      <c r="A13" s="17" t="s">
        <v>113</v>
      </c>
      <c r="B13" s="17"/>
      <c r="C13" s="17"/>
      <c r="D13" s="17"/>
      <c r="E13" s="17"/>
      <c r="F13" s="17"/>
    </row>
    <row r="15" customFormat="false" ht="15" hidden="false" customHeight="false" outlineLevel="0" collapsed="false">
      <c r="A15" s="13" t="s">
        <v>114</v>
      </c>
    </row>
    <row r="16" customFormat="false" ht="45" hidden="false" customHeight="true" outlineLevel="0" collapsed="false">
      <c r="A16" s="17" t="s">
        <v>115</v>
      </c>
      <c r="B16" s="17"/>
      <c r="C16" s="17"/>
      <c r="D16" s="17"/>
      <c r="E16" s="17"/>
      <c r="F16" s="17"/>
    </row>
    <row r="18" customFormat="false" ht="15" hidden="false" customHeight="false" outlineLevel="0" collapsed="false">
      <c r="A18" s="13" t="s">
        <v>116</v>
      </c>
    </row>
    <row r="19" customFormat="false" ht="45" hidden="false" customHeight="true" outlineLevel="0" collapsed="false">
      <c r="A19" s="17" t="s">
        <v>117</v>
      </c>
      <c r="B19" s="17"/>
      <c r="C19" s="17"/>
      <c r="D19" s="17"/>
      <c r="E19" s="17"/>
      <c r="F19" s="17"/>
    </row>
  </sheetData>
  <mergeCells count="6">
    <mergeCell ref="A4:F4"/>
    <mergeCell ref="A7:F7"/>
    <mergeCell ref="A10:F10"/>
    <mergeCell ref="A13:F13"/>
    <mergeCell ref="A16:F16"/>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2026-09-10T06:38:50Z</dcterms:created>
  <dc:creator>openpyxl</dc:creator>
  <dc:description/>
  <dc:language>en-US</dc:language>
  <cp:lastModifiedBy/>
  <dcterms:modified xsi:type="dcterms:W3CDTF">2026-09-10T06:38:50Z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